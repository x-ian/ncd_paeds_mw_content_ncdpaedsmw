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Trauma" sheetId="2" r:id="rId5"/>
    <sheet state="visible" name="Cardiology" sheetId="3" r:id="rId6"/>
    <sheet state="visible" name="Child Protection" sheetId="4" r:id="rId7"/>
    <sheet state="visible" name="Dermatology" sheetId="5" r:id="rId8"/>
    <sheet state="visible" name="Endocrinology" sheetId="6" r:id="rId9"/>
    <sheet state="visible" name="Gastroenterology" sheetId="7" r:id="rId10"/>
    <sheet state="visible" name="Haematology" sheetId="8" r:id="rId11"/>
    <sheet state="visible" name="Neonatology" sheetId="9" r:id="rId12"/>
    <sheet state="visible" name="Nephrology" sheetId="10" r:id="rId13"/>
    <sheet state="visible" name="Neurodevelopmental" sheetId="11" r:id="rId14"/>
    <sheet state="visible" name="Neurology" sheetId="12" r:id="rId15"/>
    <sheet state="visible" name="Pulmonology" sheetId="13" r:id="rId16"/>
    <sheet state="visible" name="Rheumatology" sheetId="14" r:id="rId17"/>
  </sheets>
  <definedNames/>
  <calcPr/>
  <extLst>
    <ext uri="GoogleSheetsCustomDataVersion2">
      <go:sheetsCustomData xmlns:go="http://customooxmlschemas.google.com/" r:id="rId18" roundtripDataChecksum="Bv6KZvUXxJEMzvhu3z2yP4KPa/v/dTfCzI1124rtGcI="/>
    </ext>
  </extLst>
</workbook>
</file>

<file path=xl/sharedStrings.xml><?xml version="1.0" encoding="utf-8"?>
<sst xmlns="http://schemas.openxmlformats.org/spreadsheetml/2006/main" count="255" uniqueCount="139">
  <si>
    <t>Chapter</t>
  </si>
  <si>
    <t>Number of question</t>
  </si>
  <si>
    <t>Trauma and Emergency</t>
  </si>
  <si>
    <t>Cardiology</t>
  </si>
  <si>
    <t>Child Protection</t>
  </si>
  <si>
    <t>Dermatology</t>
  </si>
  <si>
    <t>Endocrinology</t>
  </si>
  <si>
    <t>Gastroenterology and Food Allergy</t>
  </si>
  <si>
    <t>Haematology and Oncology</t>
  </si>
  <si>
    <t>Neonatology</t>
  </si>
  <si>
    <t>Nephrology</t>
  </si>
  <si>
    <t>Neurodevelopmental Disorders</t>
  </si>
  <si>
    <t>Pulmonology</t>
  </si>
  <si>
    <t>Rheumatology</t>
  </si>
  <si>
    <t>Total</t>
  </si>
  <si>
    <t>P</t>
  </si>
  <si>
    <t>P+S</t>
  </si>
  <si>
    <t>S</t>
  </si>
  <si>
    <t>S+T</t>
  </si>
  <si>
    <t>T</t>
  </si>
  <si>
    <t>P+S+T</t>
  </si>
  <si>
    <t>Primary level</t>
  </si>
  <si>
    <t>Primary and secondary level combined</t>
  </si>
  <si>
    <t>Secondary level</t>
  </si>
  <si>
    <t>Secondary and tertiary level combined</t>
  </si>
  <si>
    <t>Tertiary level</t>
  </si>
  <si>
    <t>Primary, seconday and tertiary level combined</t>
  </si>
  <si>
    <t>Topic</t>
  </si>
  <si>
    <t>Paeidatric shock</t>
  </si>
  <si>
    <t>Snake bite</t>
  </si>
  <si>
    <t>Toxicology</t>
  </si>
  <si>
    <t xml:space="preserve">Acute rheumatic fever &amp; rheumatic heart disease </t>
  </si>
  <si>
    <t xml:space="preserve">Myocarditis </t>
  </si>
  <si>
    <t xml:space="preserve">Dilated Cardiomyopathy </t>
  </si>
  <si>
    <t xml:space="preserve">Pulmonary hypertension </t>
  </si>
  <si>
    <t>Congenital heart diseases</t>
  </si>
  <si>
    <t xml:space="preserve">Hypercyanotic Spell in Tetralogy of Fallot </t>
  </si>
  <si>
    <t>Congestive Heart Failure</t>
  </si>
  <si>
    <t xml:space="preserve">Paediatric Arrhythimias </t>
  </si>
  <si>
    <t>Supraventricular Tachycardia</t>
  </si>
  <si>
    <t xml:space="preserve">Chest Pain </t>
  </si>
  <si>
    <t>Syncope</t>
  </si>
  <si>
    <t>Topics</t>
  </si>
  <si>
    <t>Atopic Dermatitis / Eczema</t>
  </si>
  <si>
    <t>Miliaria</t>
  </si>
  <si>
    <t>Urticaria</t>
  </si>
  <si>
    <t xml:space="preserve">Psoriasis </t>
  </si>
  <si>
    <t>Oculocutaneous Albinism</t>
  </si>
  <si>
    <t>Diabetes</t>
  </si>
  <si>
    <t>Diabetic Ketoacidosis</t>
  </si>
  <si>
    <t>Thyroid Disorders</t>
  </si>
  <si>
    <t xml:space="preserve">Acquired Hypothyroidism </t>
  </si>
  <si>
    <t>Hyperthyroidism</t>
  </si>
  <si>
    <t>Approach to disorders of sex development (Ambiguous Genitalia)</t>
  </si>
  <si>
    <t>Congenital Adrenal Hyperplasia (CAH)</t>
  </si>
  <si>
    <t>Puberty Disorders</t>
  </si>
  <si>
    <t xml:space="preserve">Delayed Puberty </t>
  </si>
  <si>
    <t xml:space="preserve">Overweight and Obesity in Children and Adolescents
</t>
  </si>
  <si>
    <t>Growth Disorders</t>
  </si>
  <si>
    <t>Tall Stature</t>
  </si>
  <si>
    <t>Chronic abdominal pain</t>
  </si>
  <si>
    <t>GERD</t>
  </si>
  <si>
    <t>PUD</t>
  </si>
  <si>
    <t>Chronic diarrhea</t>
  </si>
  <si>
    <t>Constipation</t>
  </si>
  <si>
    <t>Food allergy</t>
  </si>
  <si>
    <t>Inflammatory bowel disease</t>
  </si>
  <si>
    <t>Coeliac disease</t>
  </si>
  <si>
    <t>Acute liver failure</t>
  </si>
  <si>
    <t>Liver cirrhosis</t>
  </si>
  <si>
    <t>Portal hypertension</t>
  </si>
  <si>
    <t>Ascites</t>
  </si>
  <si>
    <t>Non-trauma bleeding</t>
  </si>
  <si>
    <t>Haemophilia</t>
  </si>
  <si>
    <t>Oncological emergencies</t>
  </si>
  <si>
    <t>Tumour lysis syndrome</t>
  </si>
  <si>
    <t>Spinal cord compression</t>
  </si>
  <si>
    <t>Superior vena cava compression syndrome</t>
  </si>
  <si>
    <t>Hyperleukocytosis</t>
  </si>
  <si>
    <t>Wilms tumour / Nephroblastoma</t>
  </si>
  <si>
    <t>Retinoblastoma</t>
  </si>
  <si>
    <t>Lymphoma</t>
  </si>
  <si>
    <t>Sickle cell disease</t>
  </si>
  <si>
    <t>Anaemia</t>
  </si>
  <si>
    <t>Neonatal resuscitation</t>
  </si>
  <si>
    <t xml:space="preserve">Care of premature </t>
  </si>
  <si>
    <t>Small for gestational age</t>
  </si>
  <si>
    <t>KMC</t>
  </si>
  <si>
    <t>Neonatal hypolgycaemia</t>
  </si>
  <si>
    <t>Neonatal heperglycaemia</t>
  </si>
  <si>
    <t>Neonatal sepsis</t>
  </si>
  <si>
    <t>Apnoea of prematurity</t>
  </si>
  <si>
    <t>Neonatal jaundice</t>
  </si>
  <si>
    <t>Prolonged jaundice</t>
  </si>
  <si>
    <t>Neonatal seizures</t>
  </si>
  <si>
    <t>Acute kidney injury</t>
  </si>
  <si>
    <t>Chronic kidney disease</t>
  </si>
  <si>
    <t>Nephrotic syndrome</t>
  </si>
  <si>
    <t xml:space="preserve">Glomerulonephritis </t>
  </si>
  <si>
    <t>Haemolytic uraemic syndrome</t>
  </si>
  <si>
    <t xml:space="preserve">Hyperkalaemia       </t>
  </si>
  <si>
    <t>Hypokalaemia</t>
  </si>
  <si>
    <t>Hypernatraemia</t>
  </si>
  <si>
    <t>Hyponatremia</t>
  </si>
  <si>
    <t>Hypercalcaemia</t>
  </si>
  <si>
    <t>Hypocalcaemia</t>
  </si>
  <si>
    <t>Hypomagnesaemia</t>
  </si>
  <si>
    <t>Hypermagnesaemia</t>
  </si>
  <si>
    <t>Hyperphoshataemia</t>
  </si>
  <si>
    <t>Hypophosphataemia</t>
  </si>
  <si>
    <t>Renal replacement therapy</t>
  </si>
  <si>
    <t>Hypertension in children</t>
  </si>
  <si>
    <t>Acute hyper tension</t>
  </si>
  <si>
    <t>ADHD</t>
  </si>
  <si>
    <t>Autisum Spectrum Disorder</t>
  </si>
  <si>
    <t xml:space="preserve">Intellectual Disability (ID) </t>
  </si>
  <si>
    <t>Specific Learning Disability/Disorders</t>
  </si>
  <si>
    <t>Stress, Anxiety and other emotional distress</t>
  </si>
  <si>
    <t>Depression</t>
  </si>
  <si>
    <t>Suicide / self-harm</t>
  </si>
  <si>
    <t>Psychosis</t>
  </si>
  <si>
    <t>Acute weakness</t>
  </si>
  <si>
    <t>Stroke</t>
  </si>
  <si>
    <t>Hydrocephalus</t>
  </si>
  <si>
    <t>Blocked shunts</t>
  </si>
  <si>
    <t xml:space="preserve">Cerebral palsy </t>
  </si>
  <si>
    <t>Epilepsy</t>
  </si>
  <si>
    <t>Neural Tube Defects</t>
  </si>
  <si>
    <t>Headache</t>
  </si>
  <si>
    <t>Asthma</t>
  </si>
  <si>
    <t>Laryngomalacia</t>
  </si>
  <si>
    <t>Obstructive Sleep Apnea</t>
  </si>
  <si>
    <t>Bronchiectasis</t>
  </si>
  <si>
    <t xml:space="preserve">Septic Arthritis </t>
  </si>
  <si>
    <t>Osteomyelitis</t>
  </si>
  <si>
    <t xml:space="preserve">Juvenile Dermatomyositis </t>
  </si>
  <si>
    <t>Systemic Lupus Erythematosus (SLE)</t>
  </si>
  <si>
    <t xml:space="preserve">Juvenile Idiopathic Arthritis </t>
  </si>
  <si>
    <t>Kawasaki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</si>
</sst>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2" fillId="0" fontId="3" numFmtId="0" xfId="0" applyBorder="1" applyFont="1"/>
    <xf borderId="2" fillId="0" fontId="3" numFmtId="0" xfId="0" applyAlignment="1" applyBorder="1" applyFont="1">
      <alignment readingOrder="0"/>
    </xf>
    <xf borderId="2" fillId="3" fontId="3" numFmtId="0" xfId="0" applyBorder="1" applyFill="1" applyFont="1"/>
    <xf borderId="2" fillId="4" fontId="4" numFmtId="0" xfId="0" applyBorder="1" applyFill="1" applyFont="1"/>
    <xf borderId="2" fillId="2" fontId="1" numFmtId="0" xfId="0" applyBorder="1" applyFont="1"/>
    <xf borderId="0" fillId="0" fontId="3" numFmtId="0" xfId="0" applyAlignment="1" applyFont="1">
      <alignment shrinkToFit="0" vertical="top" wrapText="1"/>
    </xf>
    <xf borderId="2" fillId="0" fontId="4" numFmtId="0" xfId="0" applyBorder="1" applyFont="1"/>
    <xf borderId="2" fillId="0" fontId="5" numFmtId="0" xfId="0" applyBorder="1" applyFont="1"/>
    <xf borderId="0" fillId="0" fontId="4" numFmtId="0" xfId="0" applyFont="1"/>
    <xf borderId="2" fillId="0" fontId="3" numFmtId="0" xfId="0" applyAlignment="1" applyBorder="1" applyFont="1">
      <alignment horizontal="left" shrinkToFit="0" wrapText="1"/>
    </xf>
    <xf borderId="2" fillId="0" fontId="6" numFmtId="0" xfId="0" applyBorder="1" applyFont="1"/>
    <xf borderId="2" fillId="0" fontId="3" numFmtId="0" xfId="0" applyAlignment="1" applyBorder="1" applyFont="1">
      <alignment shrinkToFit="0" wrapText="1"/>
    </xf>
    <xf borderId="2" fillId="3" fontId="5" numFmtId="0" xfId="0" applyBorder="1" applyFont="1"/>
    <xf borderId="0" fillId="0" fontId="5" numFmtId="0" xfId="0" applyFont="1"/>
    <xf borderId="0" fillId="0" fontId="3" numFmtId="0" xfId="0" applyFont="1"/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86"/>
    <col customWidth="1" min="3" max="3" width="21.71"/>
    <col customWidth="1" min="4" max="4" width="12.71"/>
    <col customWidth="1" min="5" max="5" width="12.43"/>
    <col customWidth="1" min="6" max="6" width="11.57"/>
    <col customWidth="1" min="7" max="7" width="11.43"/>
    <col customWidth="1" min="8" max="8" width="11.57"/>
    <col customWidth="1" min="9" max="9" width="11.29"/>
    <col customWidth="1" min="10" max="26" width="8.71"/>
  </cols>
  <sheetData>
    <row r="2">
      <c r="B2" s="1" t="s">
        <v>0</v>
      </c>
      <c r="C2" s="1" t="s">
        <v>1</v>
      </c>
      <c r="E2" s="2"/>
      <c r="F2" s="2"/>
      <c r="G2" s="2"/>
      <c r="H2" s="2"/>
      <c r="I2" s="2"/>
      <c r="J2" s="2"/>
    </row>
    <row r="3">
      <c r="A3" s="3">
        <v>1.0</v>
      </c>
      <c r="B3" s="4" t="s">
        <v>2</v>
      </c>
      <c r="C3" s="4">
        <v>20.0</v>
      </c>
    </row>
    <row r="4">
      <c r="A4" s="3">
        <v>2.0</v>
      </c>
      <c r="B4" s="4" t="s">
        <v>3</v>
      </c>
      <c r="C4" s="4">
        <v>54.0</v>
      </c>
    </row>
    <row r="5">
      <c r="A5" s="3">
        <v>3.0</v>
      </c>
      <c r="B5" s="4" t="s">
        <v>4</v>
      </c>
      <c r="C5" s="4">
        <v>8.0</v>
      </c>
    </row>
    <row r="6">
      <c r="A6" s="3">
        <v>4.0</v>
      </c>
      <c r="B6" s="4" t="s">
        <v>5</v>
      </c>
      <c r="C6" s="4">
        <v>32.0</v>
      </c>
    </row>
    <row r="7">
      <c r="A7" s="3">
        <v>5.0</v>
      </c>
      <c r="B7" s="4" t="s">
        <v>6</v>
      </c>
      <c r="C7" s="4">
        <v>97.0</v>
      </c>
    </row>
    <row r="8">
      <c r="A8" s="3">
        <v>6.0</v>
      </c>
      <c r="B8" s="4" t="s">
        <v>7</v>
      </c>
      <c r="C8" s="4">
        <v>89.0</v>
      </c>
    </row>
    <row r="9">
      <c r="A9" s="3">
        <v>7.0</v>
      </c>
      <c r="B9" s="4" t="s">
        <v>8</v>
      </c>
      <c r="C9" s="4">
        <v>105.0</v>
      </c>
    </row>
    <row r="10">
      <c r="A10" s="3">
        <v>8.0</v>
      </c>
      <c r="B10" s="4" t="s">
        <v>9</v>
      </c>
      <c r="C10" s="5">
        <v>95.0</v>
      </c>
    </row>
    <row r="11">
      <c r="A11" s="3">
        <v>9.0</v>
      </c>
      <c r="B11" s="4" t="s">
        <v>10</v>
      </c>
      <c r="C11" s="4">
        <v>155.0</v>
      </c>
    </row>
    <row r="12">
      <c r="A12" s="3">
        <v>10.0</v>
      </c>
      <c r="B12" s="4" t="s">
        <v>11</v>
      </c>
      <c r="C12" s="4">
        <v>39.0</v>
      </c>
    </row>
    <row r="13">
      <c r="A13" s="3">
        <v>11.0</v>
      </c>
      <c r="B13" s="4" t="s">
        <v>12</v>
      </c>
      <c r="C13" s="4">
        <v>29.0</v>
      </c>
    </row>
    <row r="14">
      <c r="A14" s="3">
        <v>12.0</v>
      </c>
      <c r="B14" s="4" t="s">
        <v>13</v>
      </c>
      <c r="C14" s="4">
        <v>45.0</v>
      </c>
    </row>
    <row r="15">
      <c r="B15" s="6" t="s">
        <v>14</v>
      </c>
      <c r="C15" s="7">
        <f>SUM($C$3:C14)</f>
        <v>768</v>
      </c>
    </row>
    <row r="18">
      <c r="D18" s="8" t="s">
        <v>15</v>
      </c>
      <c r="E18" s="8" t="s">
        <v>16</v>
      </c>
      <c r="F18" s="8" t="s">
        <v>17</v>
      </c>
      <c r="G18" s="8" t="s">
        <v>18</v>
      </c>
      <c r="H18" s="8" t="s">
        <v>19</v>
      </c>
      <c r="I18" s="8" t="s">
        <v>20</v>
      </c>
    </row>
    <row r="19">
      <c r="D19" s="9" t="s">
        <v>21</v>
      </c>
      <c r="E19" s="9" t="s">
        <v>22</v>
      </c>
      <c r="F19" s="9" t="s">
        <v>23</v>
      </c>
      <c r="G19" s="9" t="s">
        <v>24</v>
      </c>
      <c r="H19" s="9" t="s">
        <v>25</v>
      </c>
      <c r="I19" s="9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3.86"/>
    <col customWidth="1" min="3" max="26" width="8.71"/>
  </cols>
  <sheetData>
    <row r="2">
      <c r="B2" s="8" t="s">
        <v>27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28</v>
      </c>
      <c r="C3" s="4">
        <v>0.0</v>
      </c>
      <c r="D3" s="4">
        <v>7.0</v>
      </c>
      <c r="E3" s="4">
        <v>0.0</v>
      </c>
      <c r="F3" s="4">
        <v>0.0</v>
      </c>
      <c r="G3" s="4">
        <v>2.0</v>
      </c>
      <c r="H3" s="4">
        <v>0.0</v>
      </c>
      <c r="I3" s="10">
        <f t="shared" ref="I3:I5" si="1">SUM(C3:H3)</f>
        <v>9</v>
      </c>
    </row>
    <row r="4">
      <c r="B4" s="4" t="s">
        <v>29</v>
      </c>
      <c r="C4" s="4">
        <v>2.0</v>
      </c>
      <c r="D4" s="4">
        <v>0.0</v>
      </c>
      <c r="E4" s="4">
        <v>0.0</v>
      </c>
      <c r="F4" s="4">
        <v>5.0</v>
      </c>
      <c r="G4" s="4">
        <v>0.0</v>
      </c>
      <c r="H4" s="4">
        <v>0.0</v>
      </c>
      <c r="I4" s="10">
        <f t="shared" si="1"/>
        <v>7</v>
      </c>
    </row>
    <row r="5">
      <c r="B5" s="4" t="s">
        <v>30</v>
      </c>
      <c r="C5" s="4">
        <v>2.0</v>
      </c>
      <c r="D5" s="4">
        <v>0.0</v>
      </c>
      <c r="E5" s="4">
        <v>2.0</v>
      </c>
      <c r="F5" s="4">
        <v>0.0</v>
      </c>
      <c r="G5" s="4">
        <v>0.0</v>
      </c>
      <c r="H5" s="4">
        <v>0.0</v>
      </c>
      <c r="I5" s="10">
        <f t="shared" si="1"/>
        <v>4</v>
      </c>
    </row>
    <row r="6">
      <c r="B6" s="6" t="s">
        <v>14</v>
      </c>
      <c r="C6" s="10">
        <f t="shared" ref="C6:H6" si="2">SUM(C3:C5)</f>
        <v>4</v>
      </c>
      <c r="D6" s="10">
        <f t="shared" si="2"/>
        <v>7</v>
      </c>
      <c r="E6" s="10">
        <f t="shared" si="2"/>
        <v>2</v>
      </c>
      <c r="F6" s="10">
        <f t="shared" si="2"/>
        <v>5</v>
      </c>
      <c r="G6" s="10">
        <f t="shared" si="2"/>
        <v>2</v>
      </c>
      <c r="H6" s="10">
        <f t="shared" si="2"/>
        <v>0</v>
      </c>
      <c r="I6" s="7">
        <f>SUM($I$3:I5)</f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0.43"/>
    <col customWidth="1" min="3" max="26" width="8.71"/>
  </cols>
  <sheetData>
    <row r="2">
      <c r="B2" s="8" t="s">
        <v>27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11" t="s">
        <v>31</v>
      </c>
      <c r="C3" s="4">
        <v>1.0</v>
      </c>
      <c r="D3" s="4">
        <v>0.0</v>
      </c>
      <c r="E3" s="4">
        <v>0.0</v>
      </c>
      <c r="F3" s="4">
        <v>5.0</v>
      </c>
      <c r="G3" s="4">
        <v>0.0</v>
      </c>
      <c r="H3" s="4">
        <v>0.0</v>
      </c>
      <c r="I3" s="10">
        <f t="shared" ref="I3:I13" si="1">SUM(C3:H3)</f>
        <v>6</v>
      </c>
    </row>
    <row r="4">
      <c r="B4" s="4" t="s">
        <v>32</v>
      </c>
      <c r="C4" s="4">
        <v>1.0</v>
      </c>
      <c r="D4" s="4">
        <v>2.0</v>
      </c>
      <c r="E4" s="4">
        <v>0.0</v>
      </c>
      <c r="F4" s="4">
        <v>0.0</v>
      </c>
      <c r="G4" s="4">
        <v>0.0</v>
      </c>
      <c r="H4" s="4">
        <v>0.0</v>
      </c>
      <c r="I4" s="10">
        <f t="shared" si="1"/>
        <v>3</v>
      </c>
    </row>
    <row r="5">
      <c r="B5" s="4" t="s">
        <v>33</v>
      </c>
      <c r="C5" s="4">
        <v>1.0</v>
      </c>
      <c r="D5" s="4">
        <v>1.0</v>
      </c>
      <c r="E5" s="4">
        <v>0.0</v>
      </c>
      <c r="F5" s="4">
        <v>0.0</v>
      </c>
      <c r="G5" s="4">
        <v>0.0</v>
      </c>
      <c r="H5" s="4">
        <v>0.0</v>
      </c>
      <c r="I5" s="10">
        <f t="shared" si="1"/>
        <v>2</v>
      </c>
    </row>
    <row r="6">
      <c r="B6" s="4" t="s">
        <v>34</v>
      </c>
      <c r="C6" s="4">
        <v>1.0</v>
      </c>
      <c r="D6" s="4">
        <v>0.0</v>
      </c>
      <c r="E6" s="4">
        <v>2.0</v>
      </c>
      <c r="F6" s="4">
        <v>0.0</v>
      </c>
      <c r="G6" s="4">
        <v>2.0</v>
      </c>
      <c r="H6" s="4">
        <v>0.0</v>
      </c>
      <c r="I6" s="10">
        <f t="shared" si="1"/>
        <v>5</v>
      </c>
    </row>
    <row r="7">
      <c r="B7" s="4" t="s">
        <v>35</v>
      </c>
      <c r="C7" s="4">
        <v>1.0</v>
      </c>
      <c r="D7" s="4">
        <v>0.0</v>
      </c>
      <c r="E7" s="4">
        <v>1.0</v>
      </c>
      <c r="F7" s="4">
        <v>0.0</v>
      </c>
      <c r="G7" s="4">
        <v>3.0</v>
      </c>
      <c r="H7" s="4">
        <v>0.0</v>
      </c>
      <c r="I7" s="10">
        <f t="shared" si="1"/>
        <v>5</v>
      </c>
    </row>
    <row r="8">
      <c r="B8" s="4" t="s">
        <v>36</v>
      </c>
      <c r="C8" s="4">
        <v>3.0</v>
      </c>
      <c r="D8" s="4">
        <v>0.0</v>
      </c>
      <c r="E8" s="4">
        <v>2.0</v>
      </c>
      <c r="F8" s="4">
        <v>0.0</v>
      </c>
      <c r="G8" s="4">
        <v>3.0</v>
      </c>
      <c r="H8" s="4">
        <v>0.0</v>
      </c>
      <c r="I8" s="10">
        <f t="shared" si="1"/>
        <v>8</v>
      </c>
    </row>
    <row r="9">
      <c r="B9" s="4" t="s">
        <v>37</v>
      </c>
      <c r="C9" s="4">
        <v>1.0</v>
      </c>
      <c r="D9" s="4">
        <v>0.0</v>
      </c>
      <c r="E9" s="4">
        <v>3.0</v>
      </c>
      <c r="F9" s="4">
        <v>0.0</v>
      </c>
      <c r="G9" s="4">
        <v>5.0</v>
      </c>
      <c r="H9" s="4">
        <v>0.0</v>
      </c>
      <c r="I9" s="10">
        <f t="shared" si="1"/>
        <v>9</v>
      </c>
    </row>
    <row r="10">
      <c r="B10" s="4" t="s">
        <v>38</v>
      </c>
      <c r="C10" s="4">
        <v>0.0</v>
      </c>
      <c r="D10" s="4">
        <v>1.0</v>
      </c>
      <c r="E10" s="4">
        <v>0.0</v>
      </c>
      <c r="F10" s="4">
        <v>0.0</v>
      </c>
      <c r="G10" s="4">
        <v>3.0</v>
      </c>
      <c r="H10" s="4">
        <v>0.0</v>
      </c>
      <c r="I10" s="10">
        <f t="shared" si="1"/>
        <v>4</v>
      </c>
    </row>
    <row r="11">
      <c r="B11" s="4" t="s">
        <v>39</v>
      </c>
      <c r="C11" s="4">
        <v>1.0</v>
      </c>
      <c r="D11" s="4">
        <v>0.0</v>
      </c>
      <c r="E11" s="4">
        <v>2.0</v>
      </c>
      <c r="F11" s="4">
        <v>0.0</v>
      </c>
      <c r="G11" s="4">
        <v>3.0</v>
      </c>
      <c r="H11" s="4">
        <v>0.0</v>
      </c>
      <c r="I11" s="10">
        <f t="shared" si="1"/>
        <v>6</v>
      </c>
    </row>
    <row r="12">
      <c r="B12" s="4" t="s">
        <v>40</v>
      </c>
      <c r="C12" s="4">
        <v>2.0</v>
      </c>
      <c r="D12" s="4">
        <v>0.0</v>
      </c>
      <c r="E12" s="4">
        <v>0.0</v>
      </c>
      <c r="F12" s="4">
        <v>2.0</v>
      </c>
      <c r="G12" s="4">
        <v>0.0</v>
      </c>
      <c r="H12" s="4">
        <v>0.0</v>
      </c>
      <c r="I12" s="10">
        <f t="shared" si="1"/>
        <v>4</v>
      </c>
    </row>
    <row r="13">
      <c r="B13" s="4" t="s">
        <v>41</v>
      </c>
      <c r="C13" s="4">
        <v>0.0</v>
      </c>
      <c r="D13" s="4">
        <v>1.0</v>
      </c>
      <c r="E13" s="4">
        <v>0.0</v>
      </c>
      <c r="F13" s="4">
        <v>0.0</v>
      </c>
      <c r="G13" s="4">
        <v>1.0</v>
      </c>
      <c r="H13" s="4">
        <v>0.0</v>
      </c>
      <c r="I13" s="10">
        <f t="shared" si="1"/>
        <v>2</v>
      </c>
    </row>
    <row r="14">
      <c r="B14" s="6" t="s">
        <v>14</v>
      </c>
      <c r="C14" s="10">
        <f t="shared" ref="C14:H14" si="2">SUM(C3:C13)</f>
        <v>12</v>
      </c>
      <c r="D14" s="10">
        <f t="shared" si="2"/>
        <v>5</v>
      </c>
      <c r="E14" s="10">
        <f t="shared" si="2"/>
        <v>10</v>
      </c>
      <c r="F14" s="10">
        <f t="shared" si="2"/>
        <v>7</v>
      </c>
      <c r="G14" s="10">
        <f t="shared" si="2"/>
        <v>20</v>
      </c>
      <c r="H14" s="10">
        <f t="shared" si="2"/>
        <v>0</v>
      </c>
      <c r="I14" s="7">
        <f>SUM($I$3:I13)</f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43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4</v>
      </c>
      <c r="C3" s="4">
        <v>2.0</v>
      </c>
      <c r="D3" s="4">
        <v>0.0</v>
      </c>
      <c r="E3" s="4">
        <v>0.0</v>
      </c>
      <c r="F3" s="4">
        <v>6.0</v>
      </c>
      <c r="G3" s="4">
        <v>0.0</v>
      </c>
      <c r="H3" s="4">
        <v>0.0</v>
      </c>
      <c r="I3" s="10">
        <f>SUM(C3:H3)</f>
        <v>8</v>
      </c>
    </row>
    <row r="4">
      <c r="B4" s="6" t="s">
        <v>14</v>
      </c>
      <c r="C4" s="10">
        <f t="shared" ref="C4:H4" si="1">SUM(C3)</f>
        <v>2</v>
      </c>
      <c r="D4" s="10">
        <f t="shared" si="1"/>
        <v>0</v>
      </c>
      <c r="E4" s="10">
        <f t="shared" si="1"/>
        <v>0</v>
      </c>
      <c r="F4" s="10">
        <f t="shared" si="1"/>
        <v>6</v>
      </c>
      <c r="G4" s="10">
        <f t="shared" si="1"/>
        <v>0</v>
      </c>
      <c r="H4" s="10">
        <f t="shared" si="1"/>
        <v>0</v>
      </c>
      <c r="I4" s="7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2.86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43</v>
      </c>
      <c r="C3" s="4">
        <v>0.0</v>
      </c>
      <c r="D3" s="4">
        <v>4.0</v>
      </c>
      <c r="E3" s="4">
        <v>0.0</v>
      </c>
      <c r="F3" s="4">
        <v>0.0</v>
      </c>
      <c r="G3" s="4">
        <v>4.0</v>
      </c>
      <c r="H3" s="4">
        <v>0.0</v>
      </c>
      <c r="I3" s="10">
        <f t="shared" ref="I3:I7" si="1">SUM(C3:H3)</f>
        <v>8</v>
      </c>
      <c r="J3" s="12"/>
    </row>
    <row r="4">
      <c r="B4" s="4" t="s">
        <v>44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4.0</v>
      </c>
      <c r="I4" s="10">
        <f t="shared" si="1"/>
        <v>4</v>
      </c>
      <c r="J4" s="12"/>
    </row>
    <row r="5">
      <c r="B5" s="4" t="s">
        <v>45</v>
      </c>
      <c r="C5" s="4">
        <v>7.0</v>
      </c>
      <c r="D5" s="4">
        <v>0.0</v>
      </c>
      <c r="E5" s="4">
        <v>0.0</v>
      </c>
      <c r="F5" s="4">
        <v>4.0</v>
      </c>
      <c r="G5" s="4">
        <v>0.0</v>
      </c>
      <c r="H5" s="4">
        <v>0.0</v>
      </c>
      <c r="I5" s="10">
        <f t="shared" si="1"/>
        <v>11</v>
      </c>
      <c r="J5" s="12"/>
    </row>
    <row r="6">
      <c r="B6" s="4" t="s">
        <v>46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4.0</v>
      </c>
      <c r="I6" s="10">
        <f t="shared" si="1"/>
        <v>4</v>
      </c>
      <c r="J6" s="12"/>
    </row>
    <row r="7">
      <c r="B7" s="4" t="s">
        <v>47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5.0</v>
      </c>
      <c r="I7" s="10">
        <f t="shared" si="1"/>
        <v>5</v>
      </c>
      <c r="J7" s="12"/>
    </row>
    <row r="8">
      <c r="B8" s="6" t="s">
        <v>14</v>
      </c>
      <c r="C8" s="10">
        <f t="shared" ref="C8:H8" si="2">SUM(C3:C7)</f>
        <v>7</v>
      </c>
      <c r="D8" s="10">
        <f t="shared" si="2"/>
        <v>4</v>
      </c>
      <c r="E8" s="10">
        <f t="shared" si="2"/>
        <v>0</v>
      </c>
      <c r="F8" s="10">
        <f t="shared" si="2"/>
        <v>4</v>
      </c>
      <c r="G8" s="10">
        <f t="shared" si="2"/>
        <v>4</v>
      </c>
      <c r="H8" s="10">
        <f t="shared" si="2"/>
        <v>13</v>
      </c>
      <c r="I8" s="7">
        <f>SUM($I$3:I7)</f>
        <v>32</v>
      </c>
      <c r="J8" s="12"/>
    </row>
    <row r="9">
      <c r="C9" s="12"/>
      <c r="D9" s="12"/>
      <c r="E9" s="12"/>
      <c r="F9" s="12"/>
      <c r="G9" s="12"/>
      <c r="H9" s="12"/>
      <c r="I9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14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48</v>
      </c>
      <c r="C3" s="4">
        <v>3.0</v>
      </c>
      <c r="D3" s="4">
        <v>0.0</v>
      </c>
      <c r="E3" s="4">
        <v>6.0</v>
      </c>
      <c r="F3" s="4">
        <v>0.0</v>
      </c>
      <c r="G3" s="4">
        <v>5.0</v>
      </c>
      <c r="H3" s="4">
        <v>0.0</v>
      </c>
      <c r="I3" s="10">
        <f t="shared" ref="I3:I14" si="1">SUM(C3:H3)</f>
        <v>14</v>
      </c>
    </row>
    <row r="4">
      <c r="B4" s="4" t="s">
        <v>49</v>
      </c>
      <c r="C4" s="4">
        <v>6.0</v>
      </c>
      <c r="D4" s="4">
        <v>0.0</v>
      </c>
      <c r="E4" s="4">
        <v>0.0</v>
      </c>
      <c r="F4" s="4">
        <v>7.0</v>
      </c>
      <c r="G4" s="4">
        <v>0.0</v>
      </c>
      <c r="H4" s="4">
        <v>0.0</v>
      </c>
      <c r="I4" s="10">
        <f t="shared" si="1"/>
        <v>13</v>
      </c>
    </row>
    <row r="5">
      <c r="B5" s="4" t="s">
        <v>50</v>
      </c>
      <c r="C5" s="4">
        <v>0.0</v>
      </c>
      <c r="D5" s="4">
        <v>2.0</v>
      </c>
      <c r="E5" s="4">
        <v>0.0</v>
      </c>
      <c r="F5" s="4">
        <v>0.0</v>
      </c>
      <c r="G5" s="4">
        <v>6.0</v>
      </c>
      <c r="H5" s="4">
        <v>0.0</v>
      </c>
      <c r="I5" s="10">
        <f t="shared" si="1"/>
        <v>8</v>
      </c>
    </row>
    <row r="6">
      <c r="B6" s="4" t="s">
        <v>51</v>
      </c>
      <c r="C6" s="4">
        <v>2.0</v>
      </c>
      <c r="D6" s="4">
        <v>0.0</v>
      </c>
      <c r="E6" s="4">
        <v>2.0</v>
      </c>
      <c r="F6" s="4">
        <v>0.0</v>
      </c>
      <c r="G6" s="4">
        <v>5.0</v>
      </c>
      <c r="H6" s="4">
        <v>0.0</v>
      </c>
      <c r="I6" s="10">
        <f t="shared" si="1"/>
        <v>9</v>
      </c>
    </row>
    <row r="7">
      <c r="B7" s="4" t="s">
        <v>52</v>
      </c>
      <c r="C7" s="4">
        <v>2.0</v>
      </c>
      <c r="D7" s="4">
        <v>0.0</v>
      </c>
      <c r="E7" s="4">
        <v>2.0</v>
      </c>
      <c r="F7" s="4">
        <v>0.0</v>
      </c>
      <c r="G7" s="4">
        <v>2.0</v>
      </c>
      <c r="H7" s="4">
        <v>0.0</v>
      </c>
      <c r="I7" s="10">
        <f t="shared" si="1"/>
        <v>6</v>
      </c>
    </row>
    <row r="8">
      <c r="B8" s="13" t="s">
        <v>53</v>
      </c>
      <c r="C8" s="4">
        <v>2.0</v>
      </c>
      <c r="D8" s="4">
        <v>0.0</v>
      </c>
      <c r="E8" s="4">
        <v>2.0</v>
      </c>
      <c r="F8" s="4">
        <v>0.0</v>
      </c>
      <c r="G8" s="4">
        <v>3.0</v>
      </c>
      <c r="H8" s="4">
        <v>0.0</v>
      </c>
      <c r="I8" s="10">
        <f t="shared" si="1"/>
        <v>7</v>
      </c>
    </row>
    <row r="9">
      <c r="B9" s="4" t="s">
        <v>54</v>
      </c>
      <c r="C9" s="4">
        <v>2.0</v>
      </c>
      <c r="D9" s="4">
        <v>0.0</v>
      </c>
      <c r="E9" s="4">
        <v>3.0</v>
      </c>
      <c r="F9" s="4">
        <v>0.0</v>
      </c>
      <c r="G9" s="4">
        <v>6.0</v>
      </c>
      <c r="H9" s="4">
        <v>0.0</v>
      </c>
      <c r="I9" s="10">
        <f t="shared" si="1"/>
        <v>11</v>
      </c>
    </row>
    <row r="10">
      <c r="B10" s="4" t="s">
        <v>55</v>
      </c>
      <c r="C10" s="4">
        <v>0.0</v>
      </c>
      <c r="D10" s="4">
        <v>0.0</v>
      </c>
      <c r="E10" s="4">
        <v>0.0</v>
      </c>
      <c r="F10" s="4">
        <v>0.0</v>
      </c>
      <c r="G10" s="4">
        <v>4.0</v>
      </c>
      <c r="H10" s="4">
        <v>0.0</v>
      </c>
      <c r="I10" s="10">
        <f t="shared" si="1"/>
        <v>4</v>
      </c>
    </row>
    <row r="11">
      <c r="B11" s="14" t="s">
        <v>56</v>
      </c>
      <c r="C11" s="4">
        <v>0.0</v>
      </c>
      <c r="D11" s="4">
        <v>0.0</v>
      </c>
      <c r="E11" s="4">
        <v>0.0</v>
      </c>
      <c r="F11" s="4">
        <v>0.0</v>
      </c>
      <c r="G11" s="4">
        <v>3.0</v>
      </c>
      <c r="H11" s="4">
        <v>0.0</v>
      </c>
      <c r="I11" s="10">
        <f t="shared" si="1"/>
        <v>3</v>
      </c>
    </row>
    <row r="12">
      <c r="B12" s="15" t="s">
        <v>57</v>
      </c>
      <c r="C12" s="4">
        <v>3.0</v>
      </c>
      <c r="D12" s="4">
        <v>0.0</v>
      </c>
      <c r="E12" s="4">
        <v>0.0</v>
      </c>
      <c r="F12" s="4">
        <v>0.0</v>
      </c>
      <c r="G12" s="4">
        <v>4.0</v>
      </c>
      <c r="H12" s="4">
        <v>0.0</v>
      </c>
      <c r="I12" s="10">
        <f t="shared" si="1"/>
        <v>7</v>
      </c>
    </row>
    <row r="13">
      <c r="B13" s="4" t="s">
        <v>58</v>
      </c>
      <c r="C13" s="4">
        <v>3.0</v>
      </c>
      <c r="D13" s="4">
        <v>0.0</v>
      </c>
      <c r="E13" s="4">
        <v>1.0</v>
      </c>
      <c r="F13" s="4">
        <v>0.0</v>
      </c>
      <c r="G13" s="4">
        <v>5.0</v>
      </c>
      <c r="H13" s="4">
        <v>0.0</v>
      </c>
      <c r="I13" s="10">
        <f t="shared" si="1"/>
        <v>9</v>
      </c>
    </row>
    <row r="14">
      <c r="B14" s="4" t="s">
        <v>59</v>
      </c>
      <c r="C14" s="4">
        <v>0.0</v>
      </c>
      <c r="D14" s="4">
        <v>2.0</v>
      </c>
      <c r="E14" s="4">
        <v>0.0</v>
      </c>
      <c r="F14" s="4">
        <v>0.0</v>
      </c>
      <c r="G14" s="4">
        <v>4.0</v>
      </c>
      <c r="H14" s="4">
        <v>0.0</v>
      </c>
      <c r="I14" s="10">
        <f t="shared" si="1"/>
        <v>6</v>
      </c>
    </row>
    <row r="15">
      <c r="B15" s="6" t="s">
        <v>14</v>
      </c>
      <c r="C15" s="10">
        <f t="shared" ref="C15:I15" si="2">SUM(C3:C14)</f>
        <v>23</v>
      </c>
      <c r="D15" s="10">
        <f t="shared" si="2"/>
        <v>4</v>
      </c>
      <c r="E15" s="10">
        <f t="shared" si="2"/>
        <v>16</v>
      </c>
      <c r="F15" s="10">
        <f t="shared" si="2"/>
        <v>7</v>
      </c>
      <c r="G15" s="10">
        <f t="shared" si="2"/>
        <v>47</v>
      </c>
      <c r="H15" s="10">
        <f t="shared" si="2"/>
        <v>0</v>
      </c>
      <c r="I15" s="7">
        <f t="shared" si="2"/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43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60</v>
      </c>
      <c r="C3" s="4">
        <v>2.0</v>
      </c>
      <c r="D3" s="4">
        <v>0.0</v>
      </c>
      <c r="E3" s="4">
        <v>2.0</v>
      </c>
      <c r="F3" s="4">
        <v>0.0</v>
      </c>
      <c r="G3" s="4">
        <v>2.0</v>
      </c>
      <c r="H3" s="4">
        <v>0.0</v>
      </c>
      <c r="I3" s="10">
        <f t="shared" ref="I3:I14" si="1">SUM(C3:H3)</f>
        <v>6</v>
      </c>
    </row>
    <row r="4">
      <c r="B4" s="4" t="s">
        <v>61</v>
      </c>
      <c r="C4" s="4">
        <v>4.0</v>
      </c>
      <c r="D4" s="4">
        <v>0.0</v>
      </c>
      <c r="E4" s="4">
        <v>3.0</v>
      </c>
      <c r="F4" s="4">
        <v>0.0</v>
      </c>
      <c r="G4" s="4">
        <v>5.0</v>
      </c>
      <c r="H4" s="4">
        <v>0.0</v>
      </c>
      <c r="I4" s="10">
        <f t="shared" si="1"/>
        <v>12</v>
      </c>
    </row>
    <row r="5">
      <c r="B5" s="4" t="s">
        <v>62</v>
      </c>
      <c r="C5" s="4">
        <v>1.0</v>
      </c>
      <c r="D5" s="4">
        <v>0.0</v>
      </c>
      <c r="E5" s="4">
        <v>4.0</v>
      </c>
      <c r="F5" s="4">
        <v>0.0</v>
      </c>
      <c r="G5" s="4">
        <v>3.0</v>
      </c>
      <c r="H5" s="4">
        <v>0.0</v>
      </c>
      <c r="I5" s="10">
        <f t="shared" si="1"/>
        <v>8</v>
      </c>
    </row>
    <row r="6">
      <c r="B6" s="4" t="s">
        <v>63</v>
      </c>
      <c r="C6" s="4">
        <v>1.0</v>
      </c>
      <c r="D6" s="4">
        <v>0.0</v>
      </c>
      <c r="E6" s="4">
        <v>3.0</v>
      </c>
      <c r="F6" s="4">
        <v>0.0</v>
      </c>
      <c r="G6" s="4">
        <v>2.0</v>
      </c>
      <c r="H6" s="4">
        <v>0.0</v>
      </c>
      <c r="I6" s="10">
        <f t="shared" si="1"/>
        <v>6</v>
      </c>
    </row>
    <row r="7">
      <c r="B7" s="4" t="s">
        <v>64</v>
      </c>
      <c r="C7" s="4">
        <v>3.0</v>
      </c>
      <c r="D7" s="4">
        <v>0.0</v>
      </c>
      <c r="E7" s="4">
        <v>0.0</v>
      </c>
      <c r="F7" s="4">
        <v>0.0</v>
      </c>
      <c r="G7" s="4">
        <v>7.0</v>
      </c>
      <c r="H7" s="4">
        <v>0.0</v>
      </c>
      <c r="I7" s="10">
        <f t="shared" si="1"/>
        <v>10</v>
      </c>
    </row>
    <row r="8">
      <c r="B8" s="4" t="s">
        <v>65</v>
      </c>
      <c r="C8" s="4">
        <v>0.0</v>
      </c>
      <c r="D8" s="4">
        <v>2.0</v>
      </c>
      <c r="E8" s="4">
        <v>0.0</v>
      </c>
      <c r="F8" s="4">
        <v>0.0</v>
      </c>
      <c r="G8" s="4">
        <v>3.0</v>
      </c>
      <c r="H8" s="4">
        <v>0.0</v>
      </c>
      <c r="I8" s="10">
        <f t="shared" si="1"/>
        <v>5</v>
      </c>
    </row>
    <row r="9">
      <c r="B9" s="4" t="s">
        <v>66</v>
      </c>
      <c r="C9" s="4">
        <v>0.0</v>
      </c>
      <c r="D9" s="4">
        <v>1.0</v>
      </c>
      <c r="E9" s="4">
        <v>0.0</v>
      </c>
      <c r="F9" s="4">
        <v>0.0</v>
      </c>
      <c r="G9" s="4">
        <v>5.0</v>
      </c>
      <c r="H9" s="4">
        <v>0.0</v>
      </c>
      <c r="I9" s="10">
        <f t="shared" si="1"/>
        <v>6</v>
      </c>
    </row>
    <row r="10">
      <c r="B10" s="4" t="s">
        <v>67</v>
      </c>
      <c r="C10" s="4">
        <v>1.0</v>
      </c>
      <c r="D10" s="4">
        <v>0.0</v>
      </c>
      <c r="E10" s="4">
        <v>0.0</v>
      </c>
      <c r="F10" s="4">
        <v>3.0</v>
      </c>
      <c r="G10" s="4">
        <v>0.0</v>
      </c>
      <c r="H10" s="4">
        <v>0.0</v>
      </c>
      <c r="I10" s="10">
        <f t="shared" si="1"/>
        <v>4</v>
      </c>
    </row>
    <row r="11">
      <c r="B11" s="4" t="s">
        <v>68</v>
      </c>
      <c r="C11" s="4">
        <v>1.0</v>
      </c>
      <c r="D11" s="4">
        <v>0.0</v>
      </c>
      <c r="E11" s="4">
        <v>4.0</v>
      </c>
      <c r="F11" s="4">
        <v>0.0</v>
      </c>
      <c r="G11" s="4">
        <v>6.0</v>
      </c>
      <c r="H11" s="4">
        <v>0.0</v>
      </c>
      <c r="I11" s="10">
        <f t="shared" si="1"/>
        <v>11</v>
      </c>
    </row>
    <row r="12">
      <c r="B12" s="4" t="s">
        <v>69</v>
      </c>
      <c r="C12" s="4">
        <v>0.0</v>
      </c>
      <c r="D12" s="4">
        <v>3.0</v>
      </c>
      <c r="E12" s="4">
        <v>0.0</v>
      </c>
      <c r="F12" s="4">
        <v>0.0</v>
      </c>
      <c r="G12" s="4">
        <v>6.0</v>
      </c>
      <c r="H12" s="4">
        <v>0.0</v>
      </c>
      <c r="I12" s="10">
        <f t="shared" si="1"/>
        <v>9</v>
      </c>
    </row>
    <row r="13">
      <c r="B13" s="4" t="s">
        <v>70</v>
      </c>
      <c r="C13" s="4">
        <v>0.0</v>
      </c>
      <c r="D13" s="4">
        <v>2.0</v>
      </c>
      <c r="E13" s="4">
        <v>0.0</v>
      </c>
      <c r="F13" s="4">
        <v>0.0</v>
      </c>
      <c r="G13" s="4">
        <v>3.0</v>
      </c>
      <c r="H13" s="4">
        <v>0.0</v>
      </c>
      <c r="I13" s="10">
        <f t="shared" si="1"/>
        <v>5</v>
      </c>
    </row>
    <row r="14">
      <c r="B14" s="4" t="s">
        <v>71</v>
      </c>
      <c r="C14" s="4">
        <v>1.0</v>
      </c>
      <c r="D14" s="4">
        <v>0.0</v>
      </c>
      <c r="E14" s="4">
        <v>2.0</v>
      </c>
      <c r="F14" s="4">
        <v>0.0</v>
      </c>
      <c r="G14" s="4">
        <v>4.0</v>
      </c>
      <c r="H14" s="4">
        <v>0.0</v>
      </c>
      <c r="I14" s="10">
        <f t="shared" si="1"/>
        <v>7</v>
      </c>
    </row>
    <row r="15">
      <c r="B15" s="6" t="s">
        <v>14</v>
      </c>
      <c r="C15" s="10">
        <f t="shared" ref="C15:I15" si="2">SUM(C3:C14)</f>
        <v>14</v>
      </c>
      <c r="D15" s="10">
        <f t="shared" si="2"/>
        <v>8</v>
      </c>
      <c r="E15" s="10">
        <f t="shared" si="2"/>
        <v>18</v>
      </c>
      <c r="F15" s="10">
        <f t="shared" si="2"/>
        <v>3</v>
      </c>
      <c r="G15" s="10">
        <f t="shared" si="2"/>
        <v>46</v>
      </c>
      <c r="H15" s="10">
        <f t="shared" si="2"/>
        <v>0</v>
      </c>
      <c r="I15" s="7">
        <f t="shared" si="2"/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9.71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72</v>
      </c>
      <c r="C3" s="4">
        <v>0.0</v>
      </c>
      <c r="D3" s="4">
        <v>0.0</v>
      </c>
      <c r="E3" s="4">
        <v>2.0</v>
      </c>
      <c r="F3" s="4">
        <v>0.0</v>
      </c>
      <c r="G3" s="4">
        <v>2.0</v>
      </c>
      <c r="H3" s="4">
        <v>0.0</v>
      </c>
      <c r="I3" s="10">
        <f t="shared" ref="I3:I14" si="1">SUM(C3:H3)</f>
        <v>4</v>
      </c>
    </row>
    <row r="4">
      <c r="B4" s="4" t="s">
        <v>73</v>
      </c>
      <c r="C4" s="4">
        <v>0.0</v>
      </c>
      <c r="D4" s="4">
        <v>0.0</v>
      </c>
      <c r="E4" s="4">
        <v>0.0</v>
      </c>
      <c r="F4" s="4">
        <v>0.0</v>
      </c>
      <c r="G4" s="4">
        <v>5.0</v>
      </c>
      <c r="H4" s="4">
        <v>0.0</v>
      </c>
      <c r="I4" s="10">
        <f t="shared" si="1"/>
        <v>5</v>
      </c>
    </row>
    <row r="5">
      <c r="B5" s="4" t="s">
        <v>74</v>
      </c>
      <c r="C5" s="4">
        <v>0.0</v>
      </c>
      <c r="D5" s="4">
        <v>0.0</v>
      </c>
      <c r="E5" s="4">
        <v>0.0</v>
      </c>
      <c r="F5" s="4">
        <v>0.0</v>
      </c>
      <c r="G5" s="4">
        <v>3.0</v>
      </c>
      <c r="H5" s="4">
        <v>0.0</v>
      </c>
      <c r="I5" s="10">
        <f t="shared" si="1"/>
        <v>3</v>
      </c>
    </row>
    <row r="6">
      <c r="B6" s="4" t="s">
        <v>75</v>
      </c>
      <c r="C6" s="4">
        <v>0.0</v>
      </c>
      <c r="D6" s="4">
        <v>0.0</v>
      </c>
      <c r="E6" s="4">
        <v>2.0</v>
      </c>
      <c r="F6" s="4">
        <v>0.0</v>
      </c>
      <c r="G6" s="4">
        <v>5.0</v>
      </c>
      <c r="H6" s="4">
        <v>0.0</v>
      </c>
      <c r="I6" s="10">
        <f t="shared" si="1"/>
        <v>7</v>
      </c>
    </row>
    <row r="7">
      <c r="B7" s="4" t="s">
        <v>76</v>
      </c>
      <c r="C7" s="4">
        <v>2.0</v>
      </c>
      <c r="D7" s="4">
        <v>0.0</v>
      </c>
      <c r="E7" s="4">
        <v>2.0</v>
      </c>
      <c r="F7" s="4">
        <v>0.0</v>
      </c>
      <c r="G7" s="4">
        <v>3.0</v>
      </c>
      <c r="H7" s="4">
        <v>0.0</v>
      </c>
      <c r="I7" s="10">
        <f t="shared" si="1"/>
        <v>7</v>
      </c>
    </row>
    <row r="8">
      <c r="B8" s="4" t="s">
        <v>77</v>
      </c>
      <c r="C8" s="4">
        <v>0.0</v>
      </c>
      <c r="D8" s="4">
        <v>2.0</v>
      </c>
      <c r="E8" s="4">
        <v>0.0</v>
      </c>
      <c r="F8" s="4">
        <v>0.0</v>
      </c>
      <c r="G8" s="4">
        <v>2.0</v>
      </c>
      <c r="H8" s="4">
        <v>0.0</v>
      </c>
      <c r="I8" s="10">
        <f t="shared" si="1"/>
        <v>4</v>
      </c>
    </row>
    <row r="9">
      <c r="B9" s="4" t="s">
        <v>78</v>
      </c>
      <c r="C9" s="4">
        <v>1.0</v>
      </c>
      <c r="D9" s="4">
        <v>0.0</v>
      </c>
      <c r="E9" s="4">
        <v>1.0</v>
      </c>
      <c r="F9" s="4">
        <v>0.0</v>
      </c>
      <c r="G9" s="4">
        <v>3.0</v>
      </c>
      <c r="H9" s="4">
        <v>0.0</v>
      </c>
      <c r="I9" s="10">
        <f t="shared" si="1"/>
        <v>5</v>
      </c>
    </row>
    <row r="10">
      <c r="B10" s="4" t="s">
        <v>79</v>
      </c>
      <c r="C10" s="4">
        <v>1.0</v>
      </c>
      <c r="D10" s="4">
        <v>0.0</v>
      </c>
      <c r="E10" s="4">
        <v>1.0</v>
      </c>
      <c r="F10" s="4">
        <v>0.0</v>
      </c>
      <c r="G10" s="4">
        <v>1.0</v>
      </c>
      <c r="H10" s="4">
        <v>0.0</v>
      </c>
      <c r="I10" s="10">
        <f t="shared" si="1"/>
        <v>3</v>
      </c>
    </row>
    <row r="11">
      <c r="B11" s="4" t="s">
        <v>80</v>
      </c>
      <c r="C11" s="4">
        <v>0.0</v>
      </c>
      <c r="D11" s="4">
        <v>1.0</v>
      </c>
      <c r="E11" s="4">
        <v>0.0</v>
      </c>
      <c r="F11" s="4">
        <v>0.0</v>
      </c>
      <c r="G11" s="4">
        <v>5.0</v>
      </c>
      <c r="H11" s="4">
        <v>0.0</v>
      </c>
      <c r="I11" s="10">
        <f t="shared" si="1"/>
        <v>6</v>
      </c>
    </row>
    <row r="12">
      <c r="B12" s="4" t="s">
        <v>81</v>
      </c>
      <c r="C12" s="4">
        <v>0.0</v>
      </c>
      <c r="D12" s="4">
        <v>0.0</v>
      </c>
      <c r="E12" s="4">
        <v>3.0</v>
      </c>
      <c r="F12" s="4">
        <v>0.0</v>
      </c>
      <c r="G12" s="4">
        <v>4.0</v>
      </c>
      <c r="H12" s="4">
        <v>0.0</v>
      </c>
      <c r="I12" s="10">
        <f t="shared" si="1"/>
        <v>7</v>
      </c>
    </row>
    <row r="13">
      <c r="B13" s="4" t="s">
        <v>82</v>
      </c>
      <c r="C13" s="4">
        <v>1.0</v>
      </c>
      <c r="D13" s="4">
        <v>0.0</v>
      </c>
      <c r="E13" s="4">
        <v>15.0</v>
      </c>
      <c r="F13" s="4">
        <v>0.0</v>
      </c>
      <c r="G13" s="4">
        <v>15.0</v>
      </c>
      <c r="H13" s="4">
        <v>0.0</v>
      </c>
      <c r="I13" s="10">
        <f t="shared" si="1"/>
        <v>31</v>
      </c>
    </row>
    <row r="14">
      <c r="B14" s="4" t="s">
        <v>83</v>
      </c>
      <c r="C14" s="4">
        <v>1.0</v>
      </c>
      <c r="D14" s="4">
        <v>0.0</v>
      </c>
      <c r="E14" s="4">
        <v>10.0</v>
      </c>
      <c r="F14" s="4">
        <v>0.0</v>
      </c>
      <c r="G14" s="4">
        <v>12.0</v>
      </c>
      <c r="H14" s="4">
        <v>0.0</v>
      </c>
      <c r="I14" s="10">
        <f t="shared" si="1"/>
        <v>23</v>
      </c>
    </row>
    <row r="15">
      <c r="B15" s="6" t="s">
        <v>14</v>
      </c>
      <c r="C15" s="10">
        <f t="shared" ref="C15:H15" si="2">SUM(C3:C14)</f>
        <v>6</v>
      </c>
      <c r="D15" s="10">
        <f t="shared" si="2"/>
        <v>3</v>
      </c>
      <c r="E15" s="10">
        <f t="shared" si="2"/>
        <v>36</v>
      </c>
      <c r="F15" s="10">
        <f t="shared" si="2"/>
        <v>0</v>
      </c>
      <c r="G15" s="10">
        <f t="shared" si="2"/>
        <v>60</v>
      </c>
      <c r="H15" s="10">
        <f t="shared" si="2"/>
        <v>0</v>
      </c>
      <c r="I15" s="7">
        <f>SUM($I$3:I14)</f>
        <v>105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8.57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84</v>
      </c>
      <c r="C3" s="4">
        <v>3.0</v>
      </c>
      <c r="D3" s="4">
        <v>0.0</v>
      </c>
      <c r="E3" s="4">
        <v>4.0</v>
      </c>
      <c r="F3" s="4">
        <v>0.0</v>
      </c>
      <c r="G3" s="4">
        <v>5.0</v>
      </c>
      <c r="H3" s="4">
        <v>0.0</v>
      </c>
      <c r="I3" s="10">
        <f t="shared" ref="I3:I13" si="1">SUM(C3:H3)</f>
        <v>12</v>
      </c>
    </row>
    <row r="4">
      <c r="B4" s="4" t="s">
        <v>85</v>
      </c>
      <c r="C4" s="4">
        <v>2.0</v>
      </c>
      <c r="D4" s="4">
        <v>0.0</v>
      </c>
      <c r="E4" s="4">
        <v>0.0</v>
      </c>
      <c r="F4" s="4">
        <v>2.0</v>
      </c>
      <c r="G4" s="4">
        <v>0.0</v>
      </c>
      <c r="H4" s="4">
        <v>0.0</v>
      </c>
      <c r="I4" s="10">
        <f t="shared" si="1"/>
        <v>4</v>
      </c>
    </row>
    <row r="5">
      <c r="B5" s="4" t="s">
        <v>86</v>
      </c>
      <c r="C5" s="4">
        <v>1.0</v>
      </c>
      <c r="D5" s="4">
        <v>0.0</v>
      </c>
      <c r="E5" s="4">
        <v>0.0</v>
      </c>
      <c r="F5" s="4">
        <v>4.0</v>
      </c>
      <c r="G5" s="4">
        <v>0.0</v>
      </c>
      <c r="H5" s="4">
        <v>0.0</v>
      </c>
      <c r="I5" s="10">
        <f t="shared" si="1"/>
        <v>5</v>
      </c>
    </row>
    <row r="6">
      <c r="B6" s="4" t="s">
        <v>87</v>
      </c>
      <c r="C6" s="4">
        <v>1.0</v>
      </c>
      <c r="D6" s="4">
        <v>0.0</v>
      </c>
      <c r="E6" s="4">
        <v>2.0</v>
      </c>
      <c r="F6" s="4">
        <v>0.0</v>
      </c>
      <c r="G6" s="4">
        <v>3.0</v>
      </c>
      <c r="H6" s="4">
        <v>0.0</v>
      </c>
      <c r="I6" s="10">
        <f t="shared" si="1"/>
        <v>6</v>
      </c>
    </row>
    <row r="7">
      <c r="B7" s="4" t="s">
        <v>88</v>
      </c>
      <c r="C7" s="4">
        <v>3.0</v>
      </c>
      <c r="D7" s="4">
        <v>0.0</v>
      </c>
      <c r="E7" s="4">
        <v>4.0</v>
      </c>
      <c r="F7" s="4">
        <v>0.0</v>
      </c>
      <c r="G7" s="4">
        <v>4.0</v>
      </c>
      <c r="H7" s="4">
        <v>0.0</v>
      </c>
      <c r="I7" s="10">
        <f t="shared" si="1"/>
        <v>11</v>
      </c>
    </row>
    <row r="8">
      <c r="B8" s="4" t="s">
        <v>89</v>
      </c>
      <c r="C8" s="4">
        <v>1.0</v>
      </c>
      <c r="D8" s="4">
        <v>0.0</v>
      </c>
      <c r="E8" s="4">
        <v>4.0</v>
      </c>
      <c r="F8" s="4">
        <v>0.0</v>
      </c>
      <c r="G8" s="4">
        <v>5.0</v>
      </c>
      <c r="H8" s="4">
        <v>0.0</v>
      </c>
      <c r="I8" s="10">
        <f t="shared" si="1"/>
        <v>10</v>
      </c>
    </row>
    <row r="9">
      <c r="B9" s="4" t="s">
        <v>90</v>
      </c>
      <c r="C9" s="4">
        <v>4.0</v>
      </c>
      <c r="D9" s="4">
        <v>0.0</v>
      </c>
      <c r="E9" s="4">
        <v>6.0</v>
      </c>
      <c r="F9" s="4">
        <v>0.0</v>
      </c>
      <c r="G9" s="4">
        <v>8.0</v>
      </c>
      <c r="H9" s="4">
        <v>0.0</v>
      </c>
      <c r="I9" s="10">
        <f t="shared" si="1"/>
        <v>18</v>
      </c>
    </row>
    <row r="10">
      <c r="B10" s="4" t="s">
        <v>91</v>
      </c>
      <c r="C10" s="4">
        <v>2.0</v>
      </c>
      <c r="D10" s="4">
        <v>0.0</v>
      </c>
      <c r="E10" s="4">
        <v>4.0</v>
      </c>
      <c r="F10" s="4">
        <v>0.0</v>
      </c>
      <c r="G10" s="4">
        <v>2.0</v>
      </c>
      <c r="H10" s="4">
        <v>0.0</v>
      </c>
      <c r="I10" s="10">
        <f t="shared" si="1"/>
        <v>8</v>
      </c>
    </row>
    <row r="11">
      <c r="B11" s="4" t="s">
        <v>92</v>
      </c>
      <c r="C11" s="4">
        <v>0.0</v>
      </c>
      <c r="D11" s="4">
        <v>0.0</v>
      </c>
      <c r="E11" s="4">
        <v>0.0</v>
      </c>
      <c r="F11" s="4">
        <v>8.0</v>
      </c>
      <c r="G11" s="4">
        <v>0.0</v>
      </c>
      <c r="H11" s="4">
        <v>0.0</v>
      </c>
      <c r="I11" s="10">
        <f t="shared" si="1"/>
        <v>8</v>
      </c>
    </row>
    <row r="12">
      <c r="B12" s="4" t="s">
        <v>93</v>
      </c>
      <c r="C12" s="4">
        <v>0.0</v>
      </c>
      <c r="D12" s="4">
        <v>1.0</v>
      </c>
      <c r="E12" s="4">
        <v>0.0</v>
      </c>
      <c r="F12" s="4">
        <v>0.0</v>
      </c>
      <c r="G12" s="4">
        <v>6.0</v>
      </c>
      <c r="H12" s="4">
        <v>0.0</v>
      </c>
      <c r="I12" s="10">
        <f t="shared" si="1"/>
        <v>7</v>
      </c>
    </row>
    <row r="13">
      <c r="B13" s="4" t="s">
        <v>94</v>
      </c>
      <c r="C13" s="4">
        <v>1.0</v>
      </c>
      <c r="D13" s="4">
        <v>0.0</v>
      </c>
      <c r="E13" s="4">
        <v>2.0</v>
      </c>
      <c r="F13" s="4">
        <v>0.0</v>
      </c>
      <c r="G13" s="4">
        <v>3.0</v>
      </c>
      <c r="H13" s="4">
        <v>0.0</v>
      </c>
      <c r="I13" s="10">
        <f t="shared" si="1"/>
        <v>6</v>
      </c>
    </row>
    <row r="14">
      <c r="B14" s="6" t="s">
        <v>14</v>
      </c>
      <c r="C14" s="10">
        <f t="shared" ref="C14:H14" si="2">SUM(C3:C13)</f>
        <v>18</v>
      </c>
      <c r="D14" s="10">
        <f t="shared" si="2"/>
        <v>1</v>
      </c>
      <c r="E14" s="10">
        <f t="shared" si="2"/>
        <v>26</v>
      </c>
      <c r="F14" s="10">
        <f t="shared" si="2"/>
        <v>14</v>
      </c>
      <c r="G14" s="10">
        <f t="shared" si="2"/>
        <v>36</v>
      </c>
      <c r="H14" s="10">
        <f t="shared" si="2"/>
        <v>0</v>
      </c>
      <c r="I14" s="7">
        <f>SUM($I$3:I13)</f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9.29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95</v>
      </c>
      <c r="C3" s="4">
        <v>1.0</v>
      </c>
      <c r="D3" s="4">
        <v>0.0</v>
      </c>
      <c r="E3" s="4">
        <v>1.0</v>
      </c>
      <c r="F3" s="4">
        <v>0.0</v>
      </c>
      <c r="G3" s="4">
        <v>8.0</v>
      </c>
      <c r="H3" s="4">
        <v>0.0</v>
      </c>
      <c r="I3" s="10">
        <f t="shared" ref="I3:I20" si="1">SUM(C3:H3)</f>
        <v>10</v>
      </c>
    </row>
    <row r="4">
      <c r="B4" s="4" t="s">
        <v>96</v>
      </c>
      <c r="C4" s="4">
        <v>1.0</v>
      </c>
      <c r="D4" s="4">
        <v>0.0</v>
      </c>
      <c r="E4" s="4">
        <v>4.0</v>
      </c>
      <c r="F4" s="4">
        <v>0.0</v>
      </c>
      <c r="G4" s="4">
        <v>8.0</v>
      </c>
      <c r="H4" s="4">
        <v>0.0</v>
      </c>
      <c r="I4" s="10">
        <f t="shared" si="1"/>
        <v>13</v>
      </c>
    </row>
    <row r="5">
      <c r="B5" s="4" t="s">
        <v>97</v>
      </c>
      <c r="C5" s="4">
        <v>1.0</v>
      </c>
      <c r="D5" s="4">
        <v>0.0</v>
      </c>
      <c r="E5" s="4">
        <v>7.0</v>
      </c>
      <c r="F5" s="4">
        <v>0.0</v>
      </c>
      <c r="G5" s="4">
        <v>4.0</v>
      </c>
      <c r="H5" s="4">
        <v>0.0</v>
      </c>
      <c r="I5" s="10">
        <f t="shared" si="1"/>
        <v>12</v>
      </c>
    </row>
    <row r="6">
      <c r="B6" s="4" t="s">
        <v>98</v>
      </c>
      <c r="C6" s="4">
        <v>2.0</v>
      </c>
      <c r="D6" s="4">
        <v>0.0</v>
      </c>
      <c r="E6" s="4">
        <v>6.0</v>
      </c>
      <c r="F6" s="4">
        <v>0.0</v>
      </c>
      <c r="G6" s="4">
        <v>3.0</v>
      </c>
      <c r="H6" s="4">
        <v>0.0</v>
      </c>
      <c r="I6" s="10">
        <f t="shared" si="1"/>
        <v>11</v>
      </c>
    </row>
    <row r="7">
      <c r="B7" s="4" t="s">
        <v>99</v>
      </c>
      <c r="C7" s="4">
        <v>1.0</v>
      </c>
      <c r="D7" s="4">
        <v>0.0</v>
      </c>
      <c r="E7" s="4">
        <v>1.0</v>
      </c>
      <c r="F7" s="4">
        <v>0.0</v>
      </c>
      <c r="G7" s="4">
        <v>4.0</v>
      </c>
      <c r="H7" s="4">
        <v>0.0</v>
      </c>
      <c r="I7" s="10">
        <f t="shared" si="1"/>
        <v>6</v>
      </c>
    </row>
    <row r="8">
      <c r="B8" s="4" t="s">
        <v>100</v>
      </c>
      <c r="C8" s="4">
        <v>0.0</v>
      </c>
      <c r="D8" s="4">
        <v>0.0</v>
      </c>
      <c r="E8" s="4">
        <v>2.0</v>
      </c>
      <c r="F8" s="4">
        <v>0.0</v>
      </c>
      <c r="G8" s="4">
        <v>9.0</v>
      </c>
      <c r="H8" s="4">
        <v>0.0</v>
      </c>
      <c r="I8" s="10">
        <f t="shared" si="1"/>
        <v>11</v>
      </c>
    </row>
    <row r="9">
      <c r="B9" s="4" t="s">
        <v>101</v>
      </c>
      <c r="C9" s="4">
        <v>0.0</v>
      </c>
      <c r="D9" s="4">
        <v>0.0</v>
      </c>
      <c r="E9" s="4">
        <v>2.0</v>
      </c>
      <c r="F9" s="4">
        <v>0.0</v>
      </c>
      <c r="G9" s="4">
        <v>5.0</v>
      </c>
      <c r="H9" s="4">
        <v>0.0</v>
      </c>
      <c r="I9" s="10">
        <f t="shared" si="1"/>
        <v>7</v>
      </c>
    </row>
    <row r="10">
      <c r="B10" s="4" t="s">
        <v>102</v>
      </c>
      <c r="C10" s="4">
        <v>3.0</v>
      </c>
      <c r="D10" s="4">
        <v>0.0</v>
      </c>
      <c r="E10" s="4">
        <v>2.0</v>
      </c>
      <c r="F10" s="4">
        <v>0.0</v>
      </c>
      <c r="G10" s="4">
        <v>8.0</v>
      </c>
      <c r="H10" s="4">
        <v>0.0</v>
      </c>
      <c r="I10" s="10">
        <f t="shared" si="1"/>
        <v>13</v>
      </c>
    </row>
    <row r="11">
      <c r="B11" s="4" t="s">
        <v>103</v>
      </c>
      <c r="C11" s="4">
        <v>3.0</v>
      </c>
      <c r="D11" s="4">
        <v>0.0</v>
      </c>
      <c r="E11" s="4">
        <v>5.0</v>
      </c>
      <c r="F11" s="4">
        <v>0.0</v>
      </c>
      <c r="G11" s="4">
        <v>5.0</v>
      </c>
      <c r="H11" s="4">
        <v>0.0</v>
      </c>
      <c r="I11" s="10">
        <f t="shared" si="1"/>
        <v>13</v>
      </c>
    </row>
    <row r="12">
      <c r="B12" s="4" t="s">
        <v>104</v>
      </c>
      <c r="C12" s="4">
        <v>1.0</v>
      </c>
      <c r="D12" s="4">
        <v>0.0</v>
      </c>
      <c r="E12" s="4">
        <v>3.0</v>
      </c>
      <c r="F12" s="4">
        <v>0.0</v>
      </c>
      <c r="G12" s="4">
        <v>3.0</v>
      </c>
      <c r="H12" s="4">
        <v>0.0</v>
      </c>
      <c r="I12" s="10">
        <f t="shared" si="1"/>
        <v>7</v>
      </c>
    </row>
    <row r="13">
      <c r="B13" s="4" t="s">
        <v>105</v>
      </c>
      <c r="C13" s="4">
        <v>1.0</v>
      </c>
      <c r="D13" s="4">
        <v>0.0</v>
      </c>
      <c r="E13" s="4">
        <v>3.0</v>
      </c>
      <c r="F13" s="4">
        <v>0.0</v>
      </c>
      <c r="G13" s="4">
        <v>6.0</v>
      </c>
      <c r="H13" s="4">
        <v>0.0</v>
      </c>
      <c r="I13" s="10">
        <f t="shared" si="1"/>
        <v>10</v>
      </c>
    </row>
    <row r="14">
      <c r="B14" s="4" t="s">
        <v>106</v>
      </c>
      <c r="C14" s="4">
        <v>0.0</v>
      </c>
      <c r="D14" s="4">
        <v>0.0</v>
      </c>
      <c r="E14" s="4">
        <v>3.0</v>
      </c>
      <c r="F14" s="4">
        <v>0.0</v>
      </c>
      <c r="G14" s="4">
        <v>4.0</v>
      </c>
      <c r="H14" s="4">
        <v>0.0</v>
      </c>
      <c r="I14" s="10">
        <f t="shared" si="1"/>
        <v>7</v>
      </c>
    </row>
    <row r="15">
      <c r="B15" s="4" t="s">
        <v>107</v>
      </c>
      <c r="C15" s="4">
        <v>0.0</v>
      </c>
      <c r="D15" s="4">
        <v>0.0</v>
      </c>
      <c r="E15" s="4">
        <v>0.0</v>
      </c>
      <c r="F15" s="4">
        <v>0.0</v>
      </c>
      <c r="G15" s="4">
        <v>2.0</v>
      </c>
      <c r="H15" s="4">
        <v>0.0</v>
      </c>
      <c r="I15" s="10">
        <f t="shared" si="1"/>
        <v>2</v>
      </c>
    </row>
    <row r="16">
      <c r="B16" s="4" t="s">
        <v>108</v>
      </c>
      <c r="C16" s="4">
        <v>0.0</v>
      </c>
      <c r="D16" s="4">
        <v>0.0</v>
      </c>
      <c r="E16" s="4">
        <v>2.0</v>
      </c>
      <c r="F16" s="4">
        <v>0.0</v>
      </c>
      <c r="G16" s="4">
        <v>4.0</v>
      </c>
      <c r="H16" s="4">
        <v>0.0</v>
      </c>
      <c r="I16" s="10">
        <f t="shared" si="1"/>
        <v>6</v>
      </c>
    </row>
    <row r="17">
      <c r="B17" s="4" t="s">
        <v>109</v>
      </c>
      <c r="C17" s="4">
        <v>0.0</v>
      </c>
      <c r="D17" s="4">
        <v>0.0</v>
      </c>
      <c r="E17" s="4">
        <v>1.0</v>
      </c>
      <c r="F17" s="4">
        <v>0.0</v>
      </c>
      <c r="G17" s="4">
        <v>2.0</v>
      </c>
      <c r="H17" s="4">
        <v>0.0</v>
      </c>
      <c r="I17" s="10">
        <f t="shared" si="1"/>
        <v>3</v>
      </c>
    </row>
    <row r="18">
      <c r="B18" s="4" t="s">
        <v>110</v>
      </c>
      <c r="C18" s="4">
        <v>0.0</v>
      </c>
      <c r="D18" s="4">
        <v>0.0</v>
      </c>
      <c r="E18" s="4">
        <v>0.0</v>
      </c>
      <c r="F18" s="4">
        <v>0.0</v>
      </c>
      <c r="G18" s="4">
        <v>3.0</v>
      </c>
      <c r="H18" s="4">
        <v>0.0</v>
      </c>
      <c r="I18" s="10">
        <f t="shared" si="1"/>
        <v>3</v>
      </c>
    </row>
    <row r="19">
      <c r="B19" s="4" t="s">
        <v>111</v>
      </c>
      <c r="C19" s="4">
        <v>1.0</v>
      </c>
      <c r="D19" s="4">
        <v>0.0</v>
      </c>
      <c r="E19" s="4">
        <v>5.0</v>
      </c>
      <c r="F19" s="4">
        <v>0.0</v>
      </c>
      <c r="G19" s="4">
        <v>6.0</v>
      </c>
      <c r="H19" s="4">
        <v>0.0</v>
      </c>
      <c r="I19" s="10">
        <f t="shared" si="1"/>
        <v>12</v>
      </c>
    </row>
    <row r="20">
      <c r="B20" s="4" t="s">
        <v>112</v>
      </c>
      <c r="C20" s="4">
        <v>0.0</v>
      </c>
      <c r="D20" s="4">
        <v>0.0</v>
      </c>
      <c r="E20" s="4">
        <v>3.0</v>
      </c>
      <c r="F20" s="4">
        <v>0.0</v>
      </c>
      <c r="G20" s="4">
        <v>6.0</v>
      </c>
      <c r="H20" s="4">
        <v>0.0</v>
      </c>
      <c r="I20" s="10">
        <f t="shared" si="1"/>
        <v>9</v>
      </c>
    </row>
    <row r="21" ht="15.75" customHeight="1">
      <c r="B21" s="6" t="s">
        <v>14</v>
      </c>
      <c r="C21" s="10">
        <f t="shared" ref="C21:H21" si="2">SUM(C3:C20)</f>
        <v>15</v>
      </c>
      <c r="D21" s="10">
        <f t="shared" si="2"/>
        <v>0</v>
      </c>
      <c r="E21" s="10">
        <f t="shared" si="2"/>
        <v>50</v>
      </c>
      <c r="F21" s="10">
        <f t="shared" si="2"/>
        <v>0</v>
      </c>
      <c r="G21" s="10">
        <f t="shared" si="2"/>
        <v>90</v>
      </c>
      <c r="H21" s="10">
        <f t="shared" si="2"/>
        <v>0</v>
      </c>
      <c r="I21" s="7">
        <f>SUM($I$3:I20)</f>
        <v>155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113</v>
      </c>
      <c r="C3" s="4">
        <v>0.0</v>
      </c>
      <c r="D3" s="4">
        <v>0.0</v>
      </c>
      <c r="E3" s="4">
        <v>3.0</v>
      </c>
      <c r="F3" s="4">
        <v>0.0</v>
      </c>
      <c r="G3" s="4">
        <v>8.0</v>
      </c>
      <c r="H3" s="4">
        <v>0.0</v>
      </c>
      <c r="I3" s="10">
        <f t="shared" ref="I3:I10" si="1">SUM(C3:H3)</f>
        <v>11</v>
      </c>
    </row>
    <row r="4">
      <c r="B4" s="4" t="s">
        <v>114</v>
      </c>
      <c r="C4" s="4">
        <v>0.0</v>
      </c>
      <c r="D4" s="4">
        <v>0.0</v>
      </c>
      <c r="E4" s="4">
        <v>3.0</v>
      </c>
      <c r="F4" s="4">
        <v>0.0</v>
      </c>
      <c r="G4" s="4">
        <v>2.0</v>
      </c>
      <c r="H4" s="4">
        <v>0.0</v>
      </c>
      <c r="I4" s="10">
        <f t="shared" si="1"/>
        <v>5</v>
      </c>
    </row>
    <row r="5">
      <c r="B5" s="4" t="s">
        <v>115</v>
      </c>
      <c r="C5" s="4">
        <v>0.0</v>
      </c>
      <c r="D5" s="4">
        <v>0.0</v>
      </c>
      <c r="E5" s="4">
        <v>2.0</v>
      </c>
      <c r="F5" s="4">
        <v>0.0</v>
      </c>
      <c r="G5" s="4">
        <v>1.0</v>
      </c>
      <c r="H5" s="4">
        <v>0.0</v>
      </c>
      <c r="I5" s="10">
        <f t="shared" si="1"/>
        <v>3</v>
      </c>
    </row>
    <row r="6">
      <c r="B6" s="4" t="s">
        <v>116</v>
      </c>
      <c r="C6" s="4">
        <v>0.0</v>
      </c>
      <c r="D6" s="4">
        <v>0.0</v>
      </c>
      <c r="E6" s="4">
        <v>0.0</v>
      </c>
      <c r="F6" s="4">
        <v>0.0</v>
      </c>
      <c r="G6" s="4">
        <v>2.0</v>
      </c>
      <c r="H6" s="4">
        <v>0.0</v>
      </c>
      <c r="I6" s="10">
        <f t="shared" si="1"/>
        <v>2</v>
      </c>
    </row>
    <row r="7">
      <c r="B7" s="4" t="s">
        <v>117</v>
      </c>
      <c r="C7" s="4">
        <v>0.0</v>
      </c>
      <c r="D7" s="4">
        <v>0.0</v>
      </c>
      <c r="E7" s="4">
        <v>0.0</v>
      </c>
      <c r="F7" s="4">
        <v>0.0</v>
      </c>
      <c r="G7" s="4">
        <v>8.0</v>
      </c>
      <c r="H7" s="4">
        <v>0.0</v>
      </c>
      <c r="I7" s="10">
        <f t="shared" si="1"/>
        <v>8</v>
      </c>
    </row>
    <row r="8">
      <c r="B8" s="4" t="s">
        <v>118</v>
      </c>
      <c r="C8" s="4">
        <v>0.0</v>
      </c>
      <c r="D8" s="4">
        <v>0.0</v>
      </c>
      <c r="E8" s="4">
        <v>2.0</v>
      </c>
      <c r="F8" s="4">
        <v>0.0</v>
      </c>
      <c r="G8" s="4">
        <v>2.0</v>
      </c>
      <c r="H8" s="4">
        <v>0.0</v>
      </c>
      <c r="I8" s="10">
        <f t="shared" si="1"/>
        <v>4</v>
      </c>
    </row>
    <row r="9">
      <c r="B9" s="14" t="s">
        <v>119</v>
      </c>
      <c r="C9" s="4">
        <v>0.0</v>
      </c>
      <c r="D9" s="4">
        <v>0.0</v>
      </c>
      <c r="E9" s="4">
        <v>0.0</v>
      </c>
      <c r="F9" s="4">
        <v>3.0</v>
      </c>
      <c r="G9" s="4">
        <v>0.0</v>
      </c>
      <c r="H9" s="4">
        <v>0.0</v>
      </c>
      <c r="I9" s="10">
        <f t="shared" si="1"/>
        <v>3</v>
      </c>
    </row>
    <row r="10">
      <c r="B10" s="14" t="s">
        <v>120</v>
      </c>
      <c r="C10" s="4">
        <v>0.0</v>
      </c>
      <c r="D10" s="4">
        <v>1.0</v>
      </c>
      <c r="E10" s="4">
        <v>0.0</v>
      </c>
      <c r="F10" s="4">
        <v>0.0</v>
      </c>
      <c r="G10" s="4">
        <v>2.0</v>
      </c>
      <c r="H10" s="4">
        <v>0.0</v>
      </c>
      <c r="I10" s="10">
        <f t="shared" si="1"/>
        <v>3</v>
      </c>
    </row>
    <row r="11">
      <c r="B11" s="6" t="s">
        <v>14</v>
      </c>
      <c r="C11" s="10">
        <f t="shared" ref="C11:H11" si="2">SUM(C3:C10)</f>
        <v>0</v>
      </c>
      <c r="D11" s="10">
        <f t="shared" si="2"/>
        <v>1</v>
      </c>
      <c r="E11" s="10">
        <f t="shared" si="2"/>
        <v>10</v>
      </c>
      <c r="F11" s="10">
        <f t="shared" si="2"/>
        <v>3</v>
      </c>
      <c r="G11" s="10">
        <f t="shared" si="2"/>
        <v>25</v>
      </c>
      <c r="H11" s="10">
        <f t="shared" si="2"/>
        <v>0</v>
      </c>
      <c r="I11" s="7">
        <f>SUM($I$3:I10)</f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8.0"/>
    <col customWidth="1" min="3" max="26" width="8.71"/>
  </cols>
  <sheetData>
    <row r="2">
      <c r="B2" s="8" t="s">
        <v>27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121</v>
      </c>
      <c r="C3" s="4">
        <v>3.0</v>
      </c>
      <c r="D3" s="4">
        <v>0.0</v>
      </c>
      <c r="E3" s="4">
        <v>5.0</v>
      </c>
      <c r="F3" s="4">
        <v>0.0</v>
      </c>
      <c r="G3" s="4">
        <v>4.0</v>
      </c>
      <c r="H3" s="4">
        <v>0.0</v>
      </c>
      <c r="I3" s="10">
        <f t="shared" ref="I3:I10" si="1">SUM(C3:H3)</f>
        <v>12</v>
      </c>
    </row>
    <row r="4">
      <c r="B4" s="4" t="s">
        <v>122</v>
      </c>
      <c r="C4" s="4">
        <v>3.0</v>
      </c>
      <c r="D4" s="4">
        <v>0.0</v>
      </c>
      <c r="E4" s="4">
        <v>0.0</v>
      </c>
      <c r="F4" s="4">
        <v>7.0</v>
      </c>
      <c r="G4" s="4">
        <v>0.0</v>
      </c>
      <c r="H4" s="4">
        <v>0.0</v>
      </c>
      <c r="I4" s="10">
        <f t="shared" si="1"/>
        <v>10</v>
      </c>
    </row>
    <row r="5">
      <c r="B5" s="4" t="s">
        <v>123</v>
      </c>
      <c r="C5" s="4">
        <v>1.0</v>
      </c>
      <c r="D5" s="4">
        <v>0.0</v>
      </c>
      <c r="E5" s="4">
        <v>0.0</v>
      </c>
      <c r="F5" s="4">
        <v>4.0</v>
      </c>
      <c r="G5" s="4">
        <v>0.0</v>
      </c>
      <c r="H5" s="4">
        <v>0.0</v>
      </c>
      <c r="I5" s="10">
        <f t="shared" si="1"/>
        <v>5</v>
      </c>
    </row>
    <row r="6">
      <c r="B6" s="4" t="s">
        <v>124</v>
      </c>
      <c r="C6" s="4">
        <v>1.0</v>
      </c>
      <c r="D6" s="4">
        <v>0.0</v>
      </c>
      <c r="E6" s="4">
        <v>2.0</v>
      </c>
      <c r="F6" s="4">
        <v>0.0</v>
      </c>
      <c r="G6" s="4">
        <v>4.0</v>
      </c>
      <c r="H6" s="4">
        <v>0.0</v>
      </c>
      <c r="I6" s="10">
        <f t="shared" si="1"/>
        <v>7</v>
      </c>
    </row>
    <row r="7">
      <c r="B7" s="4" t="s">
        <v>125</v>
      </c>
      <c r="C7" s="4">
        <v>4.0</v>
      </c>
      <c r="D7" s="4">
        <v>0.0</v>
      </c>
      <c r="E7" s="4">
        <v>7.0</v>
      </c>
      <c r="F7" s="4">
        <v>0.0</v>
      </c>
      <c r="G7" s="4">
        <v>8.0</v>
      </c>
      <c r="H7" s="4">
        <v>0.0</v>
      </c>
      <c r="I7" s="10">
        <f t="shared" si="1"/>
        <v>19</v>
      </c>
    </row>
    <row r="8">
      <c r="B8" s="4" t="s">
        <v>126</v>
      </c>
      <c r="C8" s="4">
        <v>2.0</v>
      </c>
      <c r="D8" s="4">
        <v>0.0</v>
      </c>
      <c r="E8" s="4">
        <v>5.0</v>
      </c>
      <c r="F8" s="4">
        <v>0.0</v>
      </c>
      <c r="G8" s="4">
        <v>6.0</v>
      </c>
      <c r="H8" s="4">
        <v>0.0</v>
      </c>
      <c r="I8" s="10">
        <f t="shared" si="1"/>
        <v>13</v>
      </c>
    </row>
    <row r="9">
      <c r="B9" s="4" t="s">
        <v>127</v>
      </c>
      <c r="C9" s="4">
        <v>1.0</v>
      </c>
      <c r="D9" s="4">
        <v>0.0</v>
      </c>
      <c r="E9" s="4">
        <v>5.0</v>
      </c>
      <c r="F9" s="4">
        <v>0.0</v>
      </c>
      <c r="G9" s="4">
        <v>2.0</v>
      </c>
      <c r="H9" s="4">
        <v>4.0</v>
      </c>
      <c r="I9" s="10">
        <f t="shared" si="1"/>
        <v>12</v>
      </c>
    </row>
    <row r="10">
      <c r="B10" s="4" t="s">
        <v>128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4.0</v>
      </c>
      <c r="I10" s="10">
        <f t="shared" si="1"/>
        <v>4</v>
      </c>
    </row>
    <row r="11">
      <c r="B11" s="6" t="s">
        <v>14</v>
      </c>
      <c r="C11" s="10">
        <f t="shared" ref="C11:H11" si="2">SUM(C3:C10)</f>
        <v>15</v>
      </c>
      <c r="D11" s="10">
        <f t="shared" si="2"/>
        <v>0</v>
      </c>
      <c r="E11" s="10">
        <f t="shared" si="2"/>
        <v>24</v>
      </c>
      <c r="F11" s="10">
        <f t="shared" si="2"/>
        <v>11</v>
      </c>
      <c r="G11" s="10">
        <f t="shared" si="2"/>
        <v>24</v>
      </c>
      <c r="H11" s="10">
        <f t="shared" si="2"/>
        <v>8</v>
      </c>
      <c r="I11" s="7">
        <f>SUM($I$3:I10)</f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86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11" t="s">
        <v>129</v>
      </c>
      <c r="C3" s="4">
        <v>3.0</v>
      </c>
      <c r="D3" s="4">
        <v>0.0</v>
      </c>
      <c r="E3" s="4">
        <v>6.0</v>
      </c>
      <c r="F3" s="4">
        <v>0.0</v>
      </c>
      <c r="G3" s="4">
        <v>6.0</v>
      </c>
      <c r="H3" s="4">
        <v>0.0</v>
      </c>
      <c r="I3" s="10">
        <f t="shared" ref="I3:I6" si="1">SUM(C3:H3)</f>
        <v>15</v>
      </c>
    </row>
    <row r="4">
      <c r="B4" s="4" t="s">
        <v>130</v>
      </c>
      <c r="C4" s="4">
        <v>0.0</v>
      </c>
      <c r="D4" s="4">
        <v>0.0</v>
      </c>
      <c r="E4" s="4">
        <v>0.0</v>
      </c>
      <c r="F4" s="4">
        <v>0.0</v>
      </c>
      <c r="G4" s="4">
        <v>3.0</v>
      </c>
      <c r="H4" s="4">
        <v>0.0</v>
      </c>
      <c r="I4" s="10">
        <f t="shared" si="1"/>
        <v>3</v>
      </c>
    </row>
    <row r="5">
      <c r="B5" s="4" t="s">
        <v>131</v>
      </c>
      <c r="C5" s="4">
        <v>0.0</v>
      </c>
      <c r="D5" s="4">
        <v>0.0</v>
      </c>
      <c r="E5" s="4">
        <v>0.0</v>
      </c>
      <c r="F5" s="4">
        <v>4.0</v>
      </c>
      <c r="G5" s="4">
        <v>0.0</v>
      </c>
      <c r="H5" s="4">
        <v>0.0</v>
      </c>
      <c r="I5" s="10">
        <f t="shared" si="1"/>
        <v>4</v>
      </c>
    </row>
    <row r="6">
      <c r="B6" s="4" t="s">
        <v>132</v>
      </c>
      <c r="C6" s="4">
        <v>0.0</v>
      </c>
      <c r="D6" s="4">
        <v>0.0</v>
      </c>
      <c r="E6" s="4">
        <v>0.0</v>
      </c>
      <c r="F6" s="4">
        <v>7.0</v>
      </c>
      <c r="G6" s="4">
        <v>0.0</v>
      </c>
      <c r="H6" s="4">
        <v>0.0</v>
      </c>
      <c r="I6" s="10">
        <f t="shared" si="1"/>
        <v>7</v>
      </c>
    </row>
    <row r="7">
      <c r="B7" s="16" t="s">
        <v>14</v>
      </c>
      <c r="C7" s="10">
        <f t="shared" ref="C7:H7" si="2">SUM(C3:C6)</f>
        <v>3</v>
      </c>
      <c r="D7" s="10">
        <f t="shared" si="2"/>
        <v>0</v>
      </c>
      <c r="E7" s="10">
        <f t="shared" si="2"/>
        <v>6</v>
      </c>
      <c r="F7" s="10">
        <f t="shared" si="2"/>
        <v>11</v>
      </c>
      <c r="G7" s="10">
        <f t="shared" si="2"/>
        <v>9</v>
      </c>
      <c r="H7" s="10">
        <f t="shared" si="2"/>
        <v>0</v>
      </c>
      <c r="I7" s="7">
        <f>SUM($I$3:I6)</f>
        <v>29</v>
      </c>
    </row>
    <row r="8">
      <c r="B8" s="17"/>
      <c r="C8" s="18"/>
      <c r="D8" s="18"/>
      <c r="E8" s="18"/>
      <c r="F8" s="18"/>
      <c r="G8" s="18"/>
      <c r="H8" s="18"/>
      <c r="I8" s="18"/>
    </row>
    <row r="9">
      <c r="B9" s="17"/>
      <c r="C9" s="18"/>
      <c r="D9" s="18"/>
      <c r="E9" s="18"/>
      <c r="F9" s="18"/>
      <c r="G9" s="18"/>
      <c r="H9" s="18"/>
      <c r="I9" s="18"/>
    </row>
    <row r="10">
      <c r="B10" s="17"/>
      <c r="C10" s="18"/>
      <c r="D10" s="18"/>
      <c r="E10" s="18"/>
      <c r="F10" s="18"/>
      <c r="G10" s="18"/>
      <c r="H10" s="18"/>
      <c r="I10" s="18"/>
    </row>
    <row r="11">
      <c r="B11" s="17"/>
      <c r="C11" s="18"/>
      <c r="D11" s="18"/>
      <c r="E11" s="18"/>
      <c r="F11" s="18"/>
      <c r="G11" s="18"/>
      <c r="H11" s="18"/>
      <c r="I11" s="18"/>
    </row>
    <row r="12">
      <c r="B12" s="17"/>
      <c r="C12" s="18"/>
      <c r="D12" s="18"/>
      <c r="E12" s="18"/>
      <c r="F12" s="18"/>
      <c r="G12" s="18"/>
      <c r="H12" s="18"/>
      <c r="I12" s="18"/>
    </row>
    <row r="13">
      <c r="B13" s="17"/>
      <c r="C13" s="18"/>
      <c r="D13" s="18"/>
      <c r="E13" s="18"/>
      <c r="F13" s="18"/>
      <c r="G13" s="18"/>
      <c r="H13" s="18"/>
      <c r="I13" s="18"/>
    </row>
    <row r="14">
      <c r="B14" s="17"/>
      <c r="C14" s="18"/>
      <c r="D14" s="18"/>
      <c r="E14" s="18"/>
      <c r="F14" s="18"/>
      <c r="G14" s="18"/>
      <c r="H14" s="18"/>
      <c r="I14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26" width="8.71"/>
  </cols>
  <sheetData>
    <row r="2">
      <c r="B2" s="8" t="s">
        <v>42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6" t="s">
        <v>14</v>
      </c>
    </row>
    <row r="3">
      <c r="B3" s="4" t="s">
        <v>133</v>
      </c>
      <c r="C3" s="4">
        <v>0.0</v>
      </c>
      <c r="D3" s="4">
        <v>0.0</v>
      </c>
      <c r="E3" s="4">
        <v>0.0</v>
      </c>
      <c r="F3" s="4">
        <v>0.0</v>
      </c>
      <c r="G3" s="4">
        <v>6.0</v>
      </c>
      <c r="H3" s="4">
        <v>0.0</v>
      </c>
      <c r="I3" s="10">
        <f t="shared" ref="I3:I8" si="1">SUM(C3:H3)</f>
        <v>6</v>
      </c>
    </row>
    <row r="4">
      <c r="B4" s="4" t="s">
        <v>134</v>
      </c>
      <c r="C4" s="4">
        <v>0.0</v>
      </c>
      <c r="D4" s="4">
        <v>0.0</v>
      </c>
      <c r="E4" s="4">
        <v>0.0</v>
      </c>
      <c r="F4" s="4">
        <v>0.0</v>
      </c>
      <c r="G4" s="4">
        <v>6.0</v>
      </c>
      <c r="H4" s="4">
        <v>0.0</v>
      </c>
      <c r="I4" s="10">
        <f t="shared" si="1"/>
        <v>6</v>
      </c>
    </row>
    <row r="5">
      <c r="B5" s="4" t="s">
        <v>135</v>
      </c>
      <c r="C5" s="4">
        <v>0.0</v>
      </c>
      <c r="D5" s="4">
        <v>0.0</v>
      </c>
      <c r="E5" s="4">
        <v>0.0</v>
      </c>
      <c r="F5" s="4">
        <v>0.0</v>
      </c>
      <c r="G5" s="4">
        <v>10.0</v>
      </c>
      <c r="H5" s="4">
        <v>0.0</v>
      </c>
      <c r="I5" s="10">
        <f t="shared" si="1"/>
        <v>10</v>
      </c>
    </row>
    <row r="6">
      <c r="B6" s="4" t="s">
        <v>136</v>
      </c>
      <c r="C6" s="4">
        <v>0.0</v>
      </c>
      <c r="D6" s="4">
        <v>0.0</v>
      </c>
      <c r="E6" s="4">
        <v>0.0</v>
      </c>
      <c r="F6" s="4">
        <v>0.0</v>
      </c>
      <c r="G6" s="4">
        <v>5.0</v>
      </c>
      <c r="H6" s="4">
        <v>0.0</v>
      </c>
      <c r="I6" s="10">
        <f t="shared" si="1"/>
        <v>5</v>
      </c>
    </row>
    <row r="7">
      <c r="B7" s="4" t="s">
        <v>137</v>
      </c>
      <c r="C7" s="4">
        <v>0.0</v>
      </c>
      <c r="D7" s="4">
        <v>2.0</v>
      </c>
      <c r="E7" s="4">
        <v>0.0</v>
      </c>
      <c r="F7" s="4">
        <v>0.0</v>
      </c>
      <c r="G7" s="4">
        <v>10.0</v>
      </c>
      <c r="H7" s="4">
        <v>0.0</v>
      </c>
      <c r="I7" s="10">
        <f t="shared" si="1"/>
        <v>12</v>
      </c>
    </row>
    <row r="8">
      <c r="B8" s="4" t="s">
        <v>138</v>
      </c>
      <c r="C8" s="4">
        <v>0.0</v>
      </c>
      <c r="D8" s="4">
        <v>0.0</v>
      </c>
      <c r="E8" s="4">
        <v>0.0</v>
      </c>
      <c r="F8" s="4">
        <v>0.0</v>
      </c>
      <c r="G8" s="4">
        <v>6.0</v>
      </c>
      <c r="H8" s="4">
        <v>0.0</v>
      </c>
      <c r="I8" s="10">
        <f t="shared" si="1"/>
        <v>6</v>
      </c>
    </row>
    <row r="9">
      <c r="B9" s="6" t="s">
        <v>14</v>
      </c>
      <c r="C9" s="10">
        <f t="shared" ref="C9:H9" si="2">SUM(C3:C8)</f>
        <v>0</v>
      </c>
      <c r="D9" s="10">
        <f t="shared" si="2"/>
        <v>2</v>
      </c>
      <c r="E9" s="10">
        <f t="shared" si="2"/>
        <v>0</v>
      </c>
      <c r="F9" s="10">
        <f t="shared" si="2"/>
        <v>0</v>
      </c>
      <c r="G9" s="10">
        <f t="shared" si="2"/>
        <v>43</v>
      </c>
      <c r="H9" s="10">
        <f t="shared" si="2"/>
        <v>0</v>
      </c>
      <c r="I9" s="7">
        <f>SUM($I$3:I8)</f>
        <v>45</v>
      </c>
    </row>
    <row r="11">
      <c r="E11" s="1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2025-06-23T12:59:49Z</dcterms:created>
  <dc:creator>Nagase, Megumi</dc:creator>
</cp:coreProperties>
</file>